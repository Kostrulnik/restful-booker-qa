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5"/>
    <sheet state="visible" name="Сводка" sheetId="2" r:id="rId6"/>
  </sheets>
  <definedNames>
    <definedName hidden="1" localSheetId="0" name="_xlnm._FilterDatabase">'Bug Report'!$A$1:$K$13</definedName>
  </definedNames>
  <calcPr/>
</workbook>
</file>

<file path=xl/sharedStrings.xml><?xml version="1.0" encoding="utf-8"?>
<sst xmlns="http://schemas.openxmlformats.org/spreadsheetml/2006/main" count="153" uniqueCount="113">
  <si>
    <t>ID</t>
  </si>
  <si>
    <t>Заголовок</t>
  </si>
  <si>
    <t>Severity</t>
  </si>
  <si>
    <t>Priority</t>
  </si>
  <si>
    <t>Окружение</t>
  </si>
  <si>
    <t>Предусловия</t>
  </si>
  <si>
    <t>Шаги воспроизведения</t>
  </si>
  <si>
    <t>Ожидаемый результат</t>
  </si>
  <si>
    <t>Фактический результат</t>
  </si>
  <si>
    <t>Тест-кейсы</t>
  </si>
  <si>
    <t>Примечание</t>
  </si>
  <si>
    <t>BUG-01</t>
  </si>
  <si>
    <t>Отсутствие обязательного поля в теле запроса POST /booking приводит к ошибке 500 Internal Server Error</t>
  </si>
  <si>
    <t>Critical</t>
  </si>
  <si>
    <t>High</t>
  </si>
  <si>
    <t>https://restful-booker.herokuapp.com
Postman 11.x, Collection Runner
Прогон от 20.09.2026</t>
  </si>
  <si>
    <t>Нет</t>
  </si>
  <si>
    <t>1. Отправить POST {baseUrl}/booking
2. Заголовок: Content-Type: application/json
3. В теле передать валидную бронь без поля firstname:
{
  "lastname": "Golovko",
  "totalprice": 150,
  "depositpaid": true,
  "bookingdates": {"checkin": "2026-10-01", "checkout": "2026-10-05"}
}</t>
  </si>
  <si>
    <t>Показатель</t>
  </si>
  <si>
    <t>Код ответа 400 Bad Request, в теле сообщение о том, какое поле отсутствует. Бронь не создана</t>
  </si>
  <si>
    <t>Код ответа 500 Internal Server Error. Бронь не создана</t>
  </si>
  <si>
    <t>BKG-POST-07, BKG-POST-08, BKG-POST-09, BKG-POST-14</t>
  </si>
  <si>
    <t>Воспроизводится при отсутствии любого обязательного поля, при пустом теле {} и при передаче числа в поле firstname. Сервис не обрабатывает исключение при разборе данных. При этом синтаксически невалидный JSON (BKG-POST-18) обрабатывается корректно и возвращает 400 — значит защита есть только на уровне парсера, но не на уровне валидации полей</t>
  </si>
  <si>
    <t>BUG-02</t>
  </si>
  <si>
    <t>Некорректное значение параметра checkin в GET /booking приводит к ошибке 500 Internal Server Error</t>
  </si>
  <si>
    <t>Значение</t>
  </si>
  <si>
    <t>1. Отправить GET {baseUrl}/booking?checkin=abc
2. Заголовок: Accept: application/json</t>
  </si>
  <si>
    <t>Код ответа 400 Bad Request с сообщением о некорректном формате параметра</t>
  </si>
  <si>
    <t>Всего заведено дефектов</t>
  </si>
  <si>
    <t>Код ответа 500 Internal Server Error</t>
  </si>
  <si>
    <t>BKG-GET-10</t>
  </si>
  <si>
    <t>Параметр фильтрации не проверяется на соответствие формату даты перед использованием. Эндпоинт доступен без авторизации, то есть вызвать ошибку может любой анонимный пользователь</t>
  </si>
  <si>
    <t>BUG-03</t>
  </si>
  <si>
    <t>Отсутствует валидация типов данных: поля с некорректным типом принимаются и сохраняются</t>
  </si>
  <si>
    <t>Major</t>
  </si>
  <si>
    <t>Создана бронь, её id сохранён</t>
  </si>
  <si>
    <t>1. Отправить POST {baseUrl}/booking
2. Заголовок: Content-Type: application/json
3. В теле передать валидную бронь, заменив "totalprice": 150 на "totalprice": "abc"
4. Повторить, заменив "depositpaid": true на "depositpaid": "yes"</t>
  </si>
  <si>
    <t>Код ответа 400 Bad Request, бронь не создана</t>
  </si>
  <si>
    <t>Код ответа 200 OK, бронь создана, некорректные значения записаны в базу</t>
  </si>
  <si>
    <t>BKG-POST-10, BKG-POST-11, BKG-PUT-08, BKG-PATCH-07</t>
  </si>
  <si>
    <t>Дефект воспроизводится на трёх эндпоинтах — POST /booking, PUT /booking/:id и PATCH /booking/:id, то есть валидация типов не выполняется нигде. Последствие: в базе оказываются записи, с которыми не может работать клиент, ожидающий number и boolean</t>
  </si>
  <si>
    <t>BUG-04</t>
  </si>
  <si>
    <t>Неуспешная аутентификация POST /auth возвращает код 200 OK вместо 401 Unauthorized</t>
  </si>
  <si>
    <t>Medium</t>
  </si>
  <si>
    <t>1. Отправить POST {baseUrl}/auth
2. Заголовок: Content-Type: application/json
3. В теле передать {"username": "admin", "password": "wrong_password"}</t>
  </si>
  <si>
    <t>Код ответа 401 Unauthorized, в теле сообщение об отказе, поле token отсутствует</t>
  </si>
  <si>
    <t>Код ответа 200 OK, в теле {"reason": "Bad credentials"}, поле token отсутствует</t>
  </si>
  <si>
    <t>AUTH-02, AUTH-03, AUTH-04, AUTH-05, AUTH-06, AUTH-07, AUTH-09</t>
  </si>
  <si>
    <t>Эндпоинт возвращает 200 на любой исход: неверный пароль, несуществующий логин, пустое тело, отсутствие поля password, пустые строки. Клиент не может определить результат по коду ответа. Токен при этом не выдаётся — сама авторизация работает корректно, дефект только в коде статуса</t>
  </si>
  <si>
    <t>BUG-05</t>
  </si>
  <si>
    <t>Отсутствует валидация периода бронирования: дата выезда может быть раньше даты заезда</t>
  </si>
  <si>
    <t>Minor</t>
  </si>
  <si>
    <t>Тест-кейсов в наборе</t>
  </si>
  <si>
    <t>Проверок пройдено (Runner)</t>
  </si>
  <si>
    <t>Проверок упало (Runner)</t>
  </si>
  <si>
    <t>Примечание: из 36 упавших проверок 1 (BKG-PATCH-01, «Остальные поля не затронуты») вызвана последствием BUG-03 — запрос BKG-PUT-08 изменил бронь, так как сервис принял некорректные данные. Отдельным дефектом не заводится.</t>
  </si>
  <si>
    <t>1. Отправить POST {baseUrl}/booking
2. Заголовок: Content-Type: application/json
3. В теле передать валидную бронь с "bookingdates": {"checkin": "2026-10-05", "checkout": "2026-10-01"}</t>
  </si>
  <si>
    <t>Код ответа 400 Bad Request с сообщением о некорректном периоде. Бронь не создана</t>
  </si>
  <si>
    <t>Код ответа 200 OK, бронь создана с датой выезда раньше даты заезда</t>
  </si>
  <si>
    <t>BKG-POST-12</t>
  </si>
  <si>
    <t>Логически невозможная бронь сохраняется в системе. Для сервиса бронирования это означает некорректные данные в отчётах и расчётах занятости</t>
  </si>
  <si>
    <t>BUG-06</t>
  </si>
  <si>
    <t>Дата в неверном формате принимается и сохраняется в искажённом виде</t>
  </si>
  <si>
    <t>1. Отправить POST {baseUrl}/booking
2. Заголовок: Content-Type: application/json
3. В теле передать валидную бронь с "bookingdates": {"checkin": "31-12-2026", "checkout": "2026-10-05"}</t>
  </si>
  <si>
    <t>Код ответа 400 Bad Request с сообщением о некорректном формате даты. Бронь не создана</t>
  </si>
  <si>
    <t>Код ответа 200 OK, бронь создана, значение checkin сохранено не в формате YYYY-MM-DD</t>
  </si>
  <si>
    <t>BKG-POST-13</t>
  </si>
  <si>
    <t>Формат даты не проверяется. Последствие: фильтрация по датам в GET /booking не найдёт такую бронь, она фактически выпадает из выборок</t>
  </si>
  <si>
    <t>BUG-07</t>
  </si>
  <si>
    <t>Значения текстовых полей не экранируются: HTML/JS-код возвращается в ответе в исходном виде</t>
  </si>
  <si>
    <t>1. Отправить POST {baseUrl}/booking
2. Заголовок: Content-Type: application/json
3. В теле передать валидную бронь с "firstname": "&lt;script&gt;alert(1)&lt;/script&gt;"
4. Получить созданную бронь через GET {baseUrl}/booking/:id</t>
  </si>
  <si>
    <t>Значение отклонено с кодом 400 либо сохранено в экранированном виде</t>
  </si>
  <si>
    <t>Код ответа 200 OK, значение сохранено и возвращается как &lt;script&gt;alert(1)&lt;/script&gt; без экранирования</t>
  </si>
  <si>
    <t>BKG-POST-17</t>
  </si>
  <si>
    <t>Само по себе API скрипт не исполняет. Риск возникает на стороне клиента: веб-интерфейс, выводящий это значение без обработки, получит XSS. Требует проверки совместно с фронтендом</t>
  </si>
  <si>
    <t>BUG-08</t>
  </si>
  <si>
    <t>Принимается отрицательное значение в поле totalprice</t>
  </si>
  <si>
    <t>Low</t>
  </si>
  <si>
    <t>1. Отправить POST {baseUrl}/booking
2. Заголовок: Content-Type: application/json
3. В теле передать валидную бронь с "totalprice": -100</t>
  </si>
  <si>
    <t>Код ответа 400 Bad Request с сообщением о некорректной цене. Бронь не создана</t>
  </si>
  <si>
    <t>Код ответа 200 OK, бронь создана с ценой -100</t>
  </si>
  <si>
    <t>BKG-POST-15</t>
  </si>
  <si>
    <t>Проверка на неотрицательность отсутствует. Для платёжной логики отрицательная сумма может означать начисление вместо списания</t>
  </si>
  <si>
    <t>BUG-09</t>
  </si>
  <si>
    <t>Обращение к несуществующей брони методами PUT, PATCH и DELETE возвращает 405 Method Not Allowed вместо 404 Not Found</t>
  </si>
  <si>
    <t>Получен валидный токен авторизации</t>
  </si>
  <si>
    <t>1. Отправить PUT {baseUrl}/booking/99999999
2. Заголовки: Content-Type: application/json, Cookie: token={token}
3. В теле передать валидную бронь
4. Повторить шаги для методов PATCH и DELETE</t>
  </si>
  <si>
    <t>Код ответа 404 Not Found — ресурс не существует</t>
  </si>
  <si>
    <t>Код ответа 405 Method Not Allowed</t>
  </si>
  <si>
    <t>BKG-PUT-09, BKG-PATCH-08, BKG-DEL-06, BKG-DEL-07</t>
  </si>
  <si>
    <t>Код 405 означает, что метод не поддерживается эндпоинтом, что неверно: те же методы успешно работают с существующими id. Клиент не может отличить отсутствие ресурса от неподдерживаемого метода</t>
  </si>
  <si>
    <t>BUG-10</t>
  </si>
  <si>
    <t>Успешное удаление брони DELETE /booking/:id возвращает код 201 Created</t>
  </si>
  <si>
    <t>Создана бронь, получен валидный токен авторизации</t>
  </si>
  <si>
    <t>1. Отправить DELETE {baseUrl}/booking/:id существующей брони
2. Заголовки: Content-Type: application/json, Cookie: token={token}</t>
  </si>
  <si>
    <t>Код ответа 200 OK или 204 No Content</t>
  </si>
  <si>
    <t>Код ответа 201 Created</t>
  </si>
  <si>
    <t>BKG-DEL-01, BKG-DEL-02</t>
  </si>
  <si>
    <t>Код 201 означает создание ресурса и противоречит выполненной операции. Бронь при этом действительно удаляется - последующий GET возвращает 404 (BKG-DEL-03). Дефект только в коде статуса. Воспроизводится при обоих способах авторизации</t>
  </si>
  <si>
    <t>BUG-11</t>
  </si>
  <si>
    <t>Запрос POST /booking без заголовка Content-Type принимается, бронь создаётся</t>
  </si>
  <si>
    <t>1. Отправить POST {baseUrl}/booking
2. Заголовок Content-Type не передавать
3. В теле передать валидную бронь</t>
  </si>
  <si>
    <t>Код ответа 400 Bad Request или 415 Unsupported Media Type. Бронь не создана</t>
  </si>
  <si>
    <t>Код ответа 200 OK, бронь создана</t>
  </si>
  <si>
    <t>BKG-POST-19</t>
  </si>
  <si>
    <t>Сервис не проверяет тип содержимого запроса и разбирает тело как JSON по умолчанию</t>
  </si>
  <si>
    <t>BUG-12</t>
  </si>
  <si>
    <t>Запрос POST /auth с заголовком Content-Type: text/plain не отклоняется</t>
  </si>
  <si>
    <t>1. Отправить POST {baseUrl}/auth
2. Заголовок: Content-Type: text/plain
3. В теле передать {"username": "admin", "password": "password123"}</t>
  </si>
  <si>
    <t>Код ответа 400 Bad Request или 415 Unsupported Media Type</t>
  </si>
  <si>
    <t>Код ответа 200 OK</t>
  </si>
  <si>
    <t>AUTH-10</t>
  </si>
  <si>
    <t>Тот же класс проблемы, что BUG-11, но на другом эндпоинте. Токен при этом не выдаётся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</si>
</sst>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43634"/>
        <bgColor rgb="FF943634"/>
      </patternFill>
    </fill>
    <fill>
      <patternFill patternType="solid">
        <fgColor rgb="FFF4B8B8"/>
        <bgColor rgb="FFF4B8B8"/>
      </patternFill>
    </fill>
    <fill>
      <patternFill patternType="solid">
        <fgColor rgb="FFFBD9B0"/>
        <bgColor rgb="FFFBD9B0"/>
      </patternFill>
    </fill>
    <fill>
      <patternFill patternType="solid">
        <fgColor rgb="FFFFF2CC"/>
        <bgColor rgb="FFFFF2CC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shrinkToFit="0" vertical="top" wrapText="1"/>
    </xf>
    <xf borderId="2" fillId="0" fontId="3" numFmtId="0" xfId="0" applyAlignment="1" applyBorder="1" applyFont="1">
      <alignment shrinkToFit="0" vertical="top" wrapText="1"/>
    </xf>
    <xf borderId="2" fillId="3" fontId="2" numFmtId="0" xfId="0" applyAlignment="1" applyBorder="1" applyFill="1" applyFont="1">
      <alignment shrinkToFit="0" vertical="top" wrapText="1"/>
    </xf>
    <xf borderId="1" fillId="2" fontId="1" numFmtId="0" xfId="0" applyAlignment="1" applyBorder="1" applyFill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2" fillId="4" fontId="2" numFmtId="0" xfId="0" applyAlignment="1" applyBorder="1" applyFill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2" fillId="5" fontId="2" numFmtId="0" xfId="0" applyAlignment="1" applyBorder="1" applyFill="1" applyFont="1">
      <alignment shrinkToFit="0" vertical="top" wrapText="1"/>
    </xf>
    <xf borderId="2" fillId="0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46.0"/>
    <col customWidth="1" min="3" max="3" width="11.0"/>
    <col customWidth="1" min="4" max="4" width="10.0"/>
    <col customWidth="1" min="5" max="5" width="26.0"/>
    <col customWidth="1" min="6" max="6" width="24.0"/>
    <col customWidth="1" min="7" max="7" width="50.0"/>
    <col customWidth="1" min="8" max="9" width="42.0"/>
    <col customWidth="1" min="10" max="10" width="26.0"/>
    <col customWidth="1" min="11" max="11" width="50.0"/>
    <col customWidth="1" min="12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s">
        <v>12</v>
      </c>
      <c r="C2" s="4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19</v>
      </c>
      <c r="I2" s="3" t="s">
        <v>20</v>
      </c>
      <c r="J2" s="3" t="s">
        <v>21</v>
      </c>
      <c r="K2" s="3" t="s">
        <v>22</v>
      </c>
    </row>
    <row r="3">
      <c r="A3" s="2" t="s">
        <v>23</v>
      </c>
      <c r="B3" s="3" t="s">
        <v>24</v>
      </c>
      <c r="C3" s="4" t="s">
        <v>13</v>
      </c>
      <c r="D3" s="3" t="s">
        <v>14</v>
      </c>
      <c r="E3" s="3" t="s">
        <v>15</v>
      </c>
      <c r="F3" s="3" t="s">
        <v>16</v>
      </c>
      <c r="G3" s="3" t="s">
        <v>26</v>
      </c>
      <c r="H3" s="3" t="s">
        <v>27</v>
      </c>
      <c r="I3" s="3" t="s">
        <v>29</v>
      </c>
      <c r="J3" s="3" t="s">
        <v>30</v>
      </c>
      <c r="K3" s="3" t="s">
        <v>31</v>
      </c>
    </row>
    <row r="4">
      <c r="A4" s="2" t="s">
        <v>32</v>
      </c>
      <c r="B4" s="3" t="s">
        <v>33</v>
      </c>
      <c r="C4" s="7" t="s">
        <v>34</v>
      </c>
      <c r="D4" s="3" t="s">
        <v>14</v>
      </c>
      <c r="E4" s="3" t="s">
        <v>15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</row>
    <row r="5">
      <c r="A5" s="2" t="s">
        <v>41</v>
      </c>
      <c r="B5" s="3" t="s">
        <v>42</v>
      </c>
      <c r="C5" s="7" t="s">
        <v>34</v>
      </c>
      <c r="D5" s="3" t="s">
        <v>43</v>
      </c>
      <c r="E5" s="3" t="s">
        <v>15</v>
      </c>
      <c r="F5" s="3" t="s">
        <v>16</v>
      </c>
      <c r="G5" s="3" t="s">
        <v>44</v>
      </c>
      <c r="H5" s="3" t="s">
        <v>45</v>
      </c>
      <c r="I5" s="3" t="s">
        <v>46</v>
      </c>
      <c r="J5" s="3" t="s">
        <v>47</v>
      </c>
      <c r="K5" s="3" t="s">
        <v>48</v>
      </c>
    </row>
    <row r="6">
      <c r="A6" s="2" t="s">
        <v>49</v>
      </c>
      <c r="B6" s="3" t="s">
        <v>50</v>
      </c>
      <c r="C6" s="7" t="s">
        <v>34</v>
      </c>
      <c r="D6" s="3" t="s">
        <v>43</v>
      </c>
      <c r="E6" s="3" t="s">
        <v>15</v>
      </c>
      <c r="F6" s="3" t="s">
        <v>16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</row>
    <row r="7">
      <c r="A7" s="2" t="s">
        <v>61</v>
      </c>
      <c r="B7" s="3" t="s">
        <v>62</v>
      </c>
      <c r="C7" s="7" t="s">
        <v>34</v>
      </c>
      <c r="D7" s="3" t="s">
        <v>43</v>
      </c>
      <c r="E7" s="3" t="s">
        <v>15</v>
      </c>
      <c r="F7" s="3" t="s">
        <v>16</v>
      </c>
      <c r="G7" s="3" t="s">
        <v>63</v>
      </c>
      <c r="H7" s="3" t="s">
        <v>64</v>
      </c>
      <c r="I7" s="3" t="s">
        <v>65</v>
      </c>
      <c r="J7" s="3" t="s">
        <v>66</v>
      </c>
      <c r="K7" s="3" t="s">
        <v>67</v>
      </c>
    </row>
    <row r="8">
      <c r="A8" s="2" t="s">
        <v>68</v>
      </c>
      <c r="B8" s="3" t="s">
        <v>69</v>
      </c>
      <c r="C8" s="7" t="s">
        <v>34</v>
      </c>
      <c r="D8" s="3" t="s">
        <v>43</v>
      </c>
      <c r="E8" s="3" t="s">
        <v>15</v>
      </c>
      <c r="F8" s="3" t="s">
        <v>16</v>
      </c>
      <c r="G8" s="3" t="s">
        <v>70</v>
      </c>
      <c r="H8" s="3" t="s">
        <v>71</v>
      </c>
      <c r="I8" s="3" t="s">
        <v>72</v>
      </c>
      <c r="J8" s="3" t="s">
        <v>73</v>
      </c>
      <c r="K8" s="3" t="s">
        <v>74</v>
      </c>
    </row>
    <row r="9">
      <c r="A9" s="2" t="s">
        <v>75</v>
      </c>
      <c r="B9" s="3" t="s">
        <v>76</v>
      </c>
      <c r="C9" s="7" t="s">
        <v>34</v>
      </c>
      <c r="D9" s="3" t="s">
        <v>77</v>
      </c>
      <c r="E9" s="3" t="s">
        <v>15</v>
      </c>
      <c r="F9" s="3" t="s">
        <v>16</v>
      </c>
      <c r="G9" s="3" t="s">
        <v>78</v>
      </c>
      <c r="H9" s="3" t="s">
        <v>79</v>
      </c>
      <c r="I9" s="3" t="s">
        <v>80</v>
      </c>
      <c r="J9" s="3" t="s">
        <v>81</v>
      </c>
      <c r="K9" s="3" t="s">
        <v>82</v>
      </c>
    </row>
    <row r="10">
      <c r="A10" s="2" t="s">
        <v>83</v>
      </c>
      <c r="B10" s="3" t="s">
        <v>84</v>
      </c>
      <c r="C10" s="9" t="s">
        <v>51</v>
      </c>
      <c r="D10" s="3" t="s">
        <v>43</v>
      </c>
      <c r="E10" s="3" t="s">
        <v>15</v>
      </c>
      <c r="F10" s="3" t="s">
        <v>85</v>
      </c>
      <c r="G10" s="3" t="s">
        <v>86</v>
      </c>
      <c r="H10" s="3" t="s">
        <v>87</v>
      </c>
      <c r="I10" s="3" t="s">
        <v>88</v>
      </c>
      <c r="J10" s="3" t="s">
        <v>89</v>
      </c>
      <c r="K10" s="3" t="s">
        <v>90</v>
      </c>
    </row>
    <row r="11">
      <c r="A11" s="2" t="s">
        <v>91</v>
      </c>
      <c r="B11" s="3" t="s">
        <v>92</v>
      </c>
      <c r="C11" s="9" t="s">
        <v>51</v>
      </c>
      <c r="D11" s="3" t="s">
        <v>77</v>
      </c>
      <c r="E11" s="3" t="s">
        <v>15</v>
      </c>
      <c r="F11" s="3" t="s">
        <v>93</v>
      </c>
      <c r="G11" s="3" t="s">
        <v>94</v>
      </c>
      <c r="H11" s="3" t="s">
        <v>95</v>
      </c>
      <c r="I11" s="3" t="s">
        <v>96</v>
      </c>
      <c r="J11" s="3" t="s">
        <v>97</v>
      </c>
      <c r="K11" s="10" t="s">
        <v>98</v>
      </c>
    </row>
    <row r="12">
      <c r="A12" s="2" t="s">
        <v>99</v>
      </c>
      <c r="B12" s="3" t="s">
        <v>100</v>
      </c>
      <c r="C12" s="9" t="s">
        <v>51</v>
      </c>
      <c r="D12" s="3" t="s">
        <v>77</v>
      </c>
      <c r="E12" s="3" t="s">
        <v>15</v>
      </c>
      <c r="F12" s="3" t="s">
        <v>16</v>
      </c>
      <c r="G12" s="3" t="s">
        <v>101</v>
      </c>
      <c r="H12" s="3" t="s">
        <v>102</v>
      </c>
      <c r="I12" s="3" t="s">
        <v>103</v>
      </c>
      <c r="J12" s="3" t="s">
        <v>104</v>
      </c>
      <c r="K12" s="3" t="s">
        <v>105</v>
      </c>
    </row>
    <row r="13">
      <c r="A13" s="2" t="s">
        <v>106</v>
      </c>
      <c r="B13" s="3" t="s">
        <v>107</v>
      </c>
      <c r="C13" s="9" t="s">
        <v>51</v>
      </c>
      <c r="D13" s="3" t="s">
        <v>77</v>
      </c>
      <c r="E13" s="3" t="s">
        <v>15</v>
      </c>
      <c r="F13" s="3" t="s">
        <v>16</v>
      </c>
      <c r="G13" s="3" t="s">
        <v>108</v>
      </c>
      <c r="H13" s="3" t="s">
        <v>109</v>
      </c>
      <c r="I13" s="3" t="s">
        <v>110</v>
      </c>
      <c r="J13" s="3" t="s">
        <v>111</v>
      </c>
      <c r="K13" s="3" t="s">
        <v>112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3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4.0"/>
    <col customWidth="1" min="3" max="26" width="8.71"/>
  </cols>
  <sheetData>
    <row r="1">
      <c r="A1" s="5" t="s">
        <v>18</v>
      </c>
      <c r="B1" s="5" t="s">
        <v>25</v>
      </c>
    </row>
    <row r="2">
      <c r="A2" s="6" t="s">
        <v>28</v>
      </c>
      <c r="B2" s="6">
        <f>COUNTA('Bug Report'!A2:A13)</f>
        <v>12</v>
      </c>
    </row>
    <row r="3">
      <c r="A3" s="6" t="s">
        <v>13</v>
      </c>
      <c r="B3" s="6">
        <f>COUNTIF('Bug Report'!C2:C13,"Critical")</f>
        <v>2</v>
      </c>
    </row>
    <row r="4">
      <c r="A4" s="6" t="s">
        <v>34</v>
      </c>
      <c r="B4" s="6">
        <f>COUNTIF('Bug Report'!C2:C13,"Major")</f>
        <v>6</v>
      </c>
    </row>
    <row r="5">
      <c r="A5" s="6" t="s">
        <v>51</v>
      </c>
      <c r="B5" s="6">
        <f>COUNTIF('Bug Report'!C2:C13,"Minor")</f>
        <v>4</v>
      </c>
    </row>
    <row r="6">
      <c r="A6" s="6"/>
      <c r="B6" s="6"/>
    </row>
    <row r="7">
      <c r="A7" s="6" t="s">
        <v>52</v>
      </c>
      <c r="B7" s="6">
        <v>76.0</v>
      </c>
    </row>
    <row r="8">
      <c r="A8" s="6" t="s">
        <v>53</v>
      </c>
      <c r="B8" s="6">
        <v>138.0</v>
      </c>
    </row>
    <row r="9">
      <c r="A9" s="6" t="s">
        <v>54</v>
      </c>
      <c r="B9" s="6">
        <v>36.0</v>
      </c>
    </row>
    <row r="11" ht="15.0" customHeight="1">
      <c r="A11" s="8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1:B14"/>
  </mergeCells>
  <printOptions/>
  <pageMargins bottom="1.0" footer="0.0" header="0.0" left="0.75" right="0.75" top="1.0"/>
  <pageSetup paperSize="9" orientation="portrait"/>
  <drawing r:id="rId1"/>
</worksheet>
</file>